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Export'!$A$1:$T$29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<sst xmlns="http://schemas.openxmlformats.org/spreadsheetml/2006/main" uniqueCount="73">
  <si>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</si>
  <si>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</si>
  <si>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</si>
  <si>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</si>
  <si>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</si>
  <si>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</si>
  <si>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</si>
  <si>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</si>
  <si>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</si>
  <si>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</si>
  <si>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</si>
  <si>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02/09/2026</t>
  </si>
  <si>
    <t>1258 Willingham Dr</t>
  </si>
  <si>
    <t>Office: 404-254-2017</t>
  </si>
  <si>
    <t xml:space="preserve">E.R. SNELL CONTRACTOR, INC. 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</si>
  <si>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</si>
  <si>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</si>
  <si>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</si>
  <si>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</si>
  <si>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</si>
  <si>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</si>
  <si>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</si>
  <si>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</si>
  <si>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</si>
  <si>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</si>
  <si>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</si>
  <si>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</si>
  <si>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</si>
  <si>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</si>
  <si>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</si>
  <si>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</si>
  <si>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</si>
  <si>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</si>
  <si>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</si>
  <si>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</si>
  <si>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</si>
  <si>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</si>
  <si>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</si>
  <si>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</si>
  <si>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</si>
  <si>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</si>
  <si>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</si>
  <si>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</si>
  <si>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</si>
  <si>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</si>
  <si>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</si>
  <si>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</si>
  <si>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</si>
  <si>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</si>
  <si>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</si>
  <si>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</si>
  <si>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</si>
  <si>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</si>
  <si>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</si>
  <si>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</si>
  <si>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</si>
  <si>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</si>
  <si>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</si>
  <si>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SIDEWALK, 4 IN</t>
  </si>
  <si>
    <t>CONC VALLEY GUTTER, 6 IN</t>
  </si>
  <si>
    <t>CLASS B CONC, BASE OR PVMT WIDENING</t>
  </si>
  <si>
    <t>CONC CATCH BASIN TOP &amp; THROAT</t>
  </si>
  <si>
    <t>CONC CURB &amp; GUTTER 8 IN X 30 IN TP 2</t>
  </si>
  <si>
    <t>CONC DRIVEWAY, 6 IN</t>
  </si>
  <si>
    <t>CONC DROP INLET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</si>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</sst>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1"/>
  <sheetViews>
    <sheetView tabSelected="1" workbookViewId="0" showGridLines="false" showRowColHeaders="1">
      <selection activeCell="J29" sqref="J29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/>
      <c r="J5" s="36"/>
      <c r="K5" s="37"/>
      <c r="L5" s="4"/>
      <c r="M5" s="4"/>
      <c r="N5" s="38"/>
      <c r="O5" s="38"/>
      <c r="P5" s="38"/>
      <c r="Q5" s="8"/>
      <c r="R5" s="39" t="s">
        <v>15</v>
      </c>
      <c r="S5" s="40" t="s">
        <v>16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17</v>
      </c>
      <c r="D6" s="32" t="s">
        <v>18</v>
      </c>
      <c r="E6" s="33"/>
      <c r="F6" s="34"/>
      <c r="G6" s="41" t="s">
        <v>19</v>
      </c>
      <c r="H6" s="36"/>
      <c r="I6" s="41" t="s">
        <v>20</v>
      </c>
      <c r="J6" s="36"/>
      <c r="K6" s="37"/>
      <c r="L6" s="42" t="s">
        <v>21</v>
      </c>
      <c r="M6" s="17"/>
      <c r="N6" s="43" t="s">
        <v>22</v>
      </c>
      <c r="O6" s="17"/>
      <c r="P6" s="19"/>
      <c r="Q6" s="8"/>
      <c r="R6" s="44" t="s">
        <v>23</v>
      </c>
      <c r="S6" s="45" t="s">
        <v>24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25</v>
      </c>
      <c r="D7" s="47" t="s">
        <v>25</v>
      </c>
      <c r="E7" s="48"/>
      <c r="F7" s="2"/>
      <c r="G7" s="49"/>
      <c r="H7" s="28"/>
      <c r="I7" s="49"/>
      <c r="J7" s="28"/>
      <c r="K7" s="37"/>
      <c r="L7" s="50" t="s">
        <v>26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27</v>
      </c>
      <c r="H8" s="55"/>
      <c r="I8" s="17"/>
      <c r="J8" s="19"/>
      <c r="K8" s="56"/>
      <c r="L8" s="25" t="s">
        <v>28</v>
      </c>
      <c r="M8" s="26"/>
      <c r="N8" s="27" t="s">
        <v>29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30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31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32</v>
      </c>
      <c r="B15" s="75" t="s">
        <v>33</v>
      </c>
      <c r="C15" s="13"/>
      <c r="D15" s="14"/>
      <c r="E15" s="76" t="s">
        <v>34</v>
      </c>
      <c r="F15" s="76" t="s">
        <v>35</v>
      </c>
      <c r="G15" s="77" t="s">
        <v>36</v>
      </c>
      <c r="H15" s="78" t="s">
        <v>37</v>
      </c>
      <c r="I15" s="79" t="s">
        <v>38</v>
      </c>
      <c r="J15" s="79" t="s">
        <v>39</v>
      </c>
      <c r="K15" s="80" t="s">
        <v>40</v>
      </c>
      <c r="L15" s="81" t="s">
        <v>41</v>
      </c>
      <c r="M15" s="82" t="s">
        <v>42</v>
      </c>
      <c r="N15" s="82" t="s">
        <v>43</v>
      </c>
      <c r="O15" s="83" t="s">
        <v>44</v>
      </c>
      <c r="P15" s="84" t="s">
        <v>45</v>
      </c>
      <c r="Q15" s="8"/>
      <c r="R15" s="85" t="s">
        <v>46</v>
      </c>
      <c r="S15" s="86" t="s">
        <v>47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58</v>
      </c>
      <c r="C16" s="115"/>
      <c r="D16" s="115"/>
      <c r="E16" s="117" t="s">
        <v>68</v>
      </c>
      <c r="F16" s="118">
        <v>58.0</v>
      </c>
      <c r="G16" s="119">
        <v>1500.0</v>
      </c>
      <c r="H16" s="118">
        <v>87000.0</v>
      </c>
      <c r="I16" s="119">
        <v>983.50999999999999</v>
      </c>
      <c r="J16" s="118">
        <v>57043.58000000000175</v>
      </c>
      <c r="K16" s="119">
        <v>0.0</v>
      </c>
      <c r="L16" s="118">
        <v>0.0</v>
      </c>
      <c r="M16" s="119">
        <v>50.0</v>
      </c>
      <c r="N16" s="118">
        <v>2900.0</v>
      </c>
      <c r="O16" s="119">
        <v>983.50999999999999</v>
      </c>
      <c r="P16" s="118">
        <v>57043.58000000000175</v>
      </c>
      <c r="Q16" s="120"/>
      <c r="R16" s="119">
        <v>983.50999999999999</v>
      </c>
      <c r="S16" s="118">
        <v>57043.58000000000175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59</v>
      </c>
      <c r="C17" s="115"/>
      <c r="D17" s="115"/>
      <c r="E17" s="117" t="s">
        <v>68</v>
      </c>
      <c r="F17" s="118">
        <v>87.0</v>
      </c>
      <c r="G17" s="119">
        <v>60.0</v>
      </c>
      <c r="H17" s="118">
        <v>5220.0</v>
      </c>
      <c r="I17" s="119">
        <v>58.2</v>
      </c>
      <c r="J17" s="118">
        <v>5063.40000000000055</v>
      </c>
      <c r="K17" s="119">
        <v>0.0</v>
      </c>
      <c r="L17" s="118">
        <v>0.0</v>
      </c>
      <c r="M17" s="119">
        <v>9.86</v>
      </c>
      <c r="N17" s="118">
        <v>857.81999999999994</v>
      </c>
      <c r="O17" s="119">
        <v>58.2</v>
      </c>
      <c r="P17" s="118">
        <v>5063.40000000000055</v>
      </c>
      <c r="Q17" s="120"/>
      <c r="R17" s="119">
        <v>58.2</v>
      </c>
      <c r="S17" s="118">
        <v>5063.40000000000055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60</v>
      </c>
      <c r="C18" s="115"/>
      <c r="D18" s="115"/>
      <c r="E18" s="117" t="s">
        <v>69</v>
      </c>
      <c r="F18" s="118">
        <v>386.0</v>
      </c>
      <c r="G18" s="119">
        <v>16.0</v>
      </c>
      <c r="H18" s="118">
        <v>6176.0</v>
      </c>
      <c r="I18" s="119">
        <v>30.0</v>
      </c>
      <c r="J18" s="118">
        <v>11580.0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30.0</v>
      </c>
      <c r="P18" s="118">
        <v>11580.0</v>
      </c>
      <c r="Q18" s="120"/>
      <c r="R18" s="119">
        <v>30.0</v>
      </c>
      <c r="S18" s="118">
        <v>11580.0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61</v>
      </c>
      <c r="C19" s="115"/>
      <c r="D19" s="115"/>
      <c r="E19" s="117" t="s">
        <v>70</v>
      </c>
      <c r="F19" s="118">
        <v>2200.0</v>
      </c>
      <c r="G19" s="119">
        <v>17.0</v>
      </c>
      <c r="H19" s="118">
        <v>37400.0</v>
      </c>
      <c r="I19" s="119">
        <v>0.5</v>
      </c>
      <c r="J19" s="118">
        <v>1100.0</v>
      </c>
      <c r="K19" s="119">
        <v>0.0</v>
      </c>
      <c r="L19" s="118">
        <v>0.0</v>
      </c>
      <c r="M19" s="119">
        <v>0.5</v>
      </c>
      <c r="N19" s="118">
        <v>1100.0</v>
      </c>
      <c r="O19" s="119">
        <v>0.5</v>
      </c>
      <c r="P19" s="118">
        <v>1100.0</v>
      </c>
      <c r="Q19" s="120"/>
      <c r="R19" s="119">
        <v>0.5</v>
      </c>
      <c r="S19" s="118">
        <v>1100.0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62</v>
      </c>
      <c r="C20" s="115"/>
      <c r="D20" s="115"/>
      <c r="E20" s="117" t="s">
        <v>71</v>
      </c>
      <c r="F20" s="118">
        <v>36.0</v>
      </c>
      <c r="G20" s="119">
        <v>2810.0</v>
      </c>
      <c r="H20" s="118">
        <v>101160.0</v>
      </c>
      <c r="I20" s="119">
        <v>2506.0</v>
      </c>
      <c r="J20" s="118">
        <v>90216.0</v>
      </c>
      <c r="K20" s="119">
        <v>0.0</v>
      </c>
      <c r="L20" s="118">
        <v>0.0</v>
      </c>
      <c r="M20" s="119">
        <v>303.0</v>
      </c>
      <c r="N20" s="118">
        <v>10908.0</v>
      </c>
      <c r="O20" s="119">
        <v>2506.0</v>
      </c>
      <c r="P20" s="118">
        <v>90216.0</v>
      </c>
      <c r="Q20" s="120"/>
      <c r="R20" s="119">
        <v>2506.0</v>
      </c>
      <c r="S20" s="118">
        <v>90216.0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63</v>
      </c>
      <c r="C21" s="115"/>
      <c r="D21" s="115"/>
      <c r="E21" s="117" t="s">
        <v>68</v>
      </c>
      <c r="F21" s="118">
        <v>87.0</v>
      </c>
      <c r="G21" s="119">
        <v>53.0</v>
      </c>
      <c r="H21" s="118">
        <v>4611.0</v>
      </c>
      <c r="I21" s="119">
        <v>0.0</v>
      </c>
      <c r="J21" s="118">
        <v>0.0</v>
      </c>
      <c r="K21" s="119">
        <v>0.0</v>
      </c>
      <c r="L21" s="118">
        <v>0.0</v>
      </c>
      <c r="M21" s="119">
        <v>0.0</v>
      </c>
      <c r="N21" s="118">
        <v>0.0</v>
      </c>
      <c r="O21" s="119">
        <v>0.0</v>
      </c>
      <c r="P21" s="118">
        <v>0.0</v>
      </c>
      <c r="Q21" s="120"/>
      <c r="R21" s="119">
        <v>0.0</v>
      </c>
      <c r="S21" s="118">
        <v>0.0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64</v>
      </c>
      <c r="C22" s="115"/>
      <c r="D22" s="115"/>
      <c r="E22" s="117" t="s">
        <v>70</v>
      </c>
      <c r="F22" s="118">
        <v>800.0</v>
      </c>
      <c r="G22" s="119">
        <v>2.0</v>
      </c>
      <c r="H22" s="118">
        <v>1600.0</v>
      </c>
      <c r="I22" s="119">
        <v>0.0</v>
      </c>
      <c r="J22" s="118">
        <v>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0.0</v>
      </c>
      <c r="P22" s="118">
        <v>0.0</v>
      </c>
      <c r="Q22" s="120"/>
      <c r="R22" s="119">
        <v>0.0</v>
      </c>
      <c r="S22" s="118">
        <v>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65</v>
      </c>
      <c r="C23" s="115"/>
      <c r="D23" s="115"/>
      <c r="E23" s="117" t="s">
        <v>72</v>
      </c>
      <c r="F23" s="118">
        <v>-1823.75</v>
      </c>
      <c r="G23" s="119">
        <v>1.0</v>
      </c>
      <c r="H23" s="118">
        <v>-1823.75</v>
      </c>
      <c r="I23" s="119">
        <v>0.0</v>
      </c>
      <c r="J23" s="118">
        <v>0.0</v>
      </c>
      <c r="K23" s="119">
        <v>0.0</v>
      </c>
      <c r="L23" s="118">
        <v>0.0</v>
      </c>
      <c r="M23" s="119">
        <v>1.0</v>
      </c>
      <c r="N23" s="118">
        <v>-1823.0</v>
      </c>
      <c r="O23" s="119">
        <v>0.0</v>
      </c>
      <c r="P23" s="118">
        <v>0.0</v>
      </c>
      <c r="Q23" s="120"/>
      <c r="R23" s="119">
        <v>0.0</v>
      </c>
      <c r="S23" s="118">
        <v>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0">
      <c r="A24" s="121"/>
      <c r="B24" s="122"/>
      <c r="C24" s="11"/>
      <c r="D24" s="11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8"/>
      <c r="R24" s="122"/>
      <c r="S24" s="122"/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22">
      <c r="A25" s="131"/>
      <c r="B25" s="123" t="s">
        <v>66</v>
      </c>
      <c r="C25" s="124"/>
      <c r="D25" s="124"/>
      <c r="E25" s="125"/>
      <c r="F25" s="125"/>
      <c r="G25" s="125"/>
      <c r="H25" s="125"/>
      <c r="I25" s="126"/>
      <c r="J25" s="126"/>
      <c r="K25" s="127"/>
      <c r="L25" s="127"/>
      <c r="M25" s="128"/>
      <c r="N25" s="128"/>
      <c r="O25" s="129"/>
      <c r="P25" s="129"/>
      <c r="Q25" s="124"/>
      <c r="R25" s="130"/>
      <c r="S25" s="130"/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9</v>
      </c>
      <c r="B26" s="116" t="s">
        <v>67</v>
      </c>
      <c r="C26" s="115"/>
      <c r="D26" s="115"/>
      <c r="E26" s="117" t="s">
        <v>68</v>
      </c>
      <c r="F26" s="118">
        <v>124.0</v>
      </c>
      <c r="G26" s="119">
        <v>0.0</v>
      </c>
      <c r="H26" s="118">
        <v>0.0</v>
      </c>
      <c r="I26" s="119">
        <v>0.0</v>
      </c>
      <c r="J26" s="118">
        <v>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0.0</v>
      </c>
      <c r="P26" s="118">
        <v>0.0</v>
      </c>
      <c r="Q26" s="120"/>
      <c r="R26" s="119">
        <v>0.0</v>
      </c>
      <c r="S26" s="118">
        <v>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53.25">
      <c r="A27" s="87"/>
      <c r="B27" s="88"/>
      <c r="C27" s="89"/>
      <c r="D27" s="89"/>
      <c r="E27" s="87"/>
      <c r="F27" s="90"/>
      <c r="G27" s="91" t="s">
        <v>57</v>
      </c>
      <c r="H27" s="92">
        <f>SUM(H16:H26)</f>
        <v>241343.25</v>
      </c>
      <c r="I27" s="93" t="s">
        <v>56</v>
      </c>
      <c r="J27" s="94">
        <f>SUM(J16:J26)</f>
        <v>165002.98000000001048</v>
      </c>
      <c r="K27" s="95" t="s">
        <v>55</v>
      </c>
      <c r="L27" s="96">
        <f>SUM(L16:L26)</f>
        <v>0</v>
      </c>
      <c r="M27" s="97" t="s">
        <v>54</v>
      </c>
      <c r="N27" s="98">
        <f>SUM(N16:N26)</f>
        <v>13942.81999999999971</v>
      </c>
      <c r="O27" s="99" t="s">
        <v>53</v>
      </c>
      <c r="P27" s="100">
        <f>SUM(P16:P26)</f>
        <v>165002.98000000001048</v>
      </c>
      <c r="Q27" s="8"/>
      <c r="R27" s="101" t="s">
        <v>52</v>
      </c>
      <c r="S27" s="102">
        <f>SUM(S16:S26)</f>
        <v>165002.98000000001048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40">
      <c r="A28" s="103"/>
      <c r="B28" s="104"/>
      <c r="E28" s="103"/>
      <c r="F28" s="105"/>
      <c r="G28" s="105"/>
      <c r="H28" s="106"/>
      <c r="I28" s="107" t="s">
        <v>51</v>
      </c>
      <c r="J28" s="134">
        <v>8250.14999999999964</v>
      </c>
      <c r="K28" s="106"/>
      <c r="L28" s="7"/>
      <c r="M28" s="108"/>
      <c r="N28" s="8"/>
      <c r="O28" s="8"/>
      <c r="P28" s="109"/>
      <c r="Q28" s="8"/>
      <c r="R28" s="132" t="s">
        <v>50</v>
      </c>
      <c r="S28" s="133">
        <v>8250.14999999999964</v>
      </c>
      <c r="T28" s="57"/>
      <c r="U28" s="110"/>
      <c r="W28" s="1"/>
      <c r="X28" s="1"/>
      <c r="Y28" s="1"/>
      <c r="Z28" s="1"/>
      <c r="AA28" s="1"/>
      <c r="AB28" s="1"/>
      <c r="AC28" s="1"/>
      <c r="AD28" s="1"/>
    </row>
    <row r="29" spans="1:30" customHeight="1" ht="48.75">
      <c r="A29" s="103"/>
      <c r="B29" s="104"/>
      <c r="E29" s="103"/>
      <c r="F29" s="105"/>
      <c r="G29" s="105"/>
      <c r="H29" s="106"/>
      <c r="I29" s="107" t="s">
        <v>49</v>
      </c>
      <c r="J29" s="134">
        <f>J27-J28</f>
        <v>156752.8300000000163</v>
      </c>
      <c r="K29" s="106"/>
      <c r="L29" s="108"/>
      <c r="M29" s="108"/>
      <c r="N29" s="8"/>
      <c r="O29" s="8"/>
      <c r="P29" s="111"/>
      <c r="Q29" s="112"/>
      <c r="R29" s="135" t="s">
        <v>48</v>
      </c>
      <c r="S29" s="136">
        <f>S27-S28</f>
        <v>156752.8300000000163</v>
      </c>
      <c r="T29" s="1"/>
      <c r="U29" s="110"/>
      <c r="W29" s="1"/>
      <c r="X29" s="1"/>
      <c r="Y29" s="1"/>
      <c r="Z29" s="1"/>
      <c r="AA29" s="1"/>
      <c r="AB29" s="1"/>
      <c r="AC29" s="1"/>
      <c r="AD29" s="1"/>
    </row>
    <row r="30" spans="1:30" customHeight="1" ht="23.25">
      <c r="A30" s="103"/>
      <c r="B30" s="104"/>
      <c r="E30" s="103"/>
      <c r="F30" s="105"/>
      <c r="G30" s="105"/>
      <c r="H30" s="106"/>
      <c r="I30" s="7"/>
      <c r="J30" s="7"/>
      <c r="K30" s="106"/>
      <c r="L30" s="108"/>
      <c r="M30" s="108"/>
      <c r="N30" s="113"/>
      <c r="O30" s="114"/>
      <c r="P30" s="111"/>
      <c r="Q30" s="11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customHeight="1" ht="29.25">
      <c r="A31" s="103"/>
      <c r="B31" s="104"/>
      <c r="E31" s="103"/>
      <c r="F31" s="105"/>
      <c r="G31" s="105"/>
      <c r="H31" s="106"/>
      <c r="I31" s="7"/>
      <c r="J31" s="7"/>
      <c r="K31" s="106"/>
      <c r="L31" s="108"/>
      <c r="M31" s="108"/>
      <c r="N31" s="113"/>
      <c r="O31" s="114"/>
      <c r="P31" s="111"/>
      <c r="Q31" s="11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customHeight="1" ht="31.5">
      <c r="A32" s="103"/>
      <c r="B32" s="104"/>
      <c r="E32" s="103"/>
      <c r="F32" s="105"/>
      <c r="G32" s="105"/>
      <c r="H32" s="106"/>
      <c r="I32" s="106"/>
      <c r="J32" s="106"/>
      <c r="K32" s="106"/>
      <c r="L32" s="108"/>
      <c r="M32" s="108"/>
      <c r="N32" s="113"/>
      <c r="O32" s="114"/>
      <c r="P32" s="111"/>
      <c r="Q32" s="11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customHeight="1" ht="30">
      <c r="A33" s="103"/>
      <c r="B33" s="104"/>
      <c r="E33" s="103"/>
      <c r="F33" s="105"/>
      <c r="G33" s="105"/>
      <c r="H33" s="106"/>
      <c r="I33" s="106"/>
      <c r="J33" s="106"/>
      <c r="K33" s="106"/>
      <c r="L33" s="108"/>
      <c r="M33" s="108"/>
      <c r="N33" s="113"/>
      <c r="O33" s="114"/>
      <c r="P33" s="111"/>
      <c r="Q33" s="11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customHeight="1" ht="30">
      <c r="A34" s="103"/>
      <c r="B34" s="104"/>
      <c r="E34" s="103"/>
      <c r="F34" s="105"/>
      <c r="G34" s="105"/>
      <c r="H34" s="106"/>
      <c r="I34" s="106"/>
      <c r="J34" s="106"/>
      <c r="K34" s="106"/>
      <c r="L34" s="108"/>
      <c r="M34" s="108"/>
      <c r="N34" s="113"/>
      <c r="O34" s="114"/>
      <c r="P34" s="111"/>
      <c r="Q34" s="11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customHeight="1" ht="15">
      <c r="A35" s="103"/>
      <c r="B35" s="104"/>
      <c r="E35" s="103"/>
      <c r="F35" s="105"/>
      <c r="G35" s="105"/>
      <c r="H35" s="106"/>
      <c r="I35" s="106"/>
      <c r="J35" s="106"/>
      <c r="K35" s="106"/>
      <c r="L35" s="108"/>
      <c r="M35" s="108"/>
      <c r="N35" s="111"/>
      <c r="O35" s="111"/>
      <c r="P35" s="111"/>
      <c r="Q35" s="11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customHeight="1" ht="15">
      <c r="A36" s="103"/>
      <c r="B36" s="104"/>
      <c r="E36" s="103"/>
      <c r="F36" s="105"/>
      <c r="G36" s="105"/>
      <c r="H36" s="106"/>
      <c r="I36" s="106"/>
      <c r="J36" s="106"/>
      <c r="K36" s="106"/>
      <c r="L36" s="108"/>
      <c r="M36" s="108"/>
      <c r="N36" s="111"/>
      <c r="O36" s="111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15">
      <c r="A37" s="103"/>
      <c r="B37" s="104"/>
      <c r="E37" s="103"/>
      <c r="F37" s="105"/>
      <c r="G37" s="105"/>
      <c r="H37" s="106"/>
      <c r="I37" s="106"/>
      <c r="J37" s="106"/>
      <c r="K37" s="106"/>
      <c r="L37" s="108"/>
      <c r="M37" s="108"/>
      <c r="N37" s="111"/>
      <c r="O37" s="111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1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1"/>
      <c r="O38" s="111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15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1"/>
      <c r="O39" s="111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15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1"/>
      <c r="O40" s="111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3"/>
      <c r="K56" s="103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3"/>
      <c r="K57" s="103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3"/>
      <c r="K58" s="103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3"/>
      <c r="K59" s="103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3"/>
      <c r="K60" s="103"/>
      <c r="L60" s="2"/>
      <c r="M60" s="2"/>
      <c r="N60" s="3"/>
      <c r="O60" s="3"/>
      <c r="P60" s="3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3"/>
      <c r="K61" s="103"/>
      <c r="L61" s="2"/>
      <c r="M61" s="2"/>
      <c r="N61" s="3"/>
      <c r="O61" s="3"/>
      <c r="P61" s="3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2"/>
      <c r="M62" s="2"/>
      <c r="N62" s="3"/>
      <c r="O62" s="3"/>
      <c r="P62" s="3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2"/>
      <c r="M63" s="2"/>
      <c r="N63" s="3"/>
      <c r="O63" s="3"/>
      <c r="P63" s="3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2"/>
      <c r="M64" s="2"/>
      <c r="N64" s="3"/>
      <c r="O64" s="3"/>
      <c r="P64" s="3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2"/>
      <c r="M65" s="2"/>
      <c r="N65" s="3"/>
      <c r="O65" s="3"/>
      <c r="P65" s="3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2"/>
      <c r="K71" s="2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2"/>
      <c r="K72" s="2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2"/>
      <c r="K73" s="2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2"/>
      <c r="K74" s="2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2"/>
      <c r="K75" s="2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2"/>
      <c r="K76" s="2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3"/>
      <c r="G78" s="103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3"/>
      <c r="G79" s="103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3"/>
      <c r="G80" s="103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3"/>
      <c r="G81" s="103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3"/>
      <c r="G82" s="103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3"/>
      <c r="G83" s="103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3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3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3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3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3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3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"/>
      <c r="C135" s="1"/>
      <c r="D135" s="1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"/>
      <c r="C136" s="1"/>
      <c r="D136" s="1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"/>
      <c r="C137" s="1"/>
      <c r="D137" s="1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"/>
      <c r="C138" s="1"/>
      <c r="D138" s="1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"/>
      <c r="C139" s="1"/>
      <c r="D139" s="1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"/>
      <c r="C140" s="1"/>
      <c r="D140" s="1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3"/>
      <c r="I158" s="103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3"/>
      <c r="I159" s="103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3"/>
      <c r="I160" s="103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3"/>
      <c r="I161" s="103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3"/>
      <c r="I162" s="103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3"/>
      <c r="I163" s="103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2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2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"/>
      <c r="B178" s="1"/>
      <c r="C178" s="1"/>
      <c r="D178" s="1"/>
      <c r="E178" s="2"/>
      <c r="F178" s="2"/>
      <c r="G178" s="2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"/>
      <c r="B179" s="1"/>
      <c r="C179" s="1"/>
      <c r="D179" s="1"/>
      <c r="E179" s="2"/>
      <c r="F179" s="2"/>
      <c r="G179" s="2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"/>
      <c r="B180" s="1"/>
      <c r="C180" s="1"/>
      <c r="D180" s="1"/>
      <c r="E180" s="2"/>
      <c r="F180" s="2"/>
      <c r="G180" s="2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"/>
      <c r="B181" s="1"/>
      <c r="C181" s="1"/>
      <c r="D181" s="1"/>
      <c r="E181" s="2"/>
      <c r="F181" s="2"/>
      <c r="G181" s="2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"/>
      <c r="B182" s="1"/>
      <c r="C182" s="1"/>
      <c r="D182" s="1"/>
      <c r="E182" s="2"/>
      <c r="F182" s="2"/>
      <c r="G182" s="2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"/>
      <c r="B183" s="1"/>
      <c r="C183" s="1"/>
      <c r="D183" s="1"/>
      <c r="E183" s="2"/>
      <c r="F183" s="2"/>
      <c r="G183" s="2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.75">
      <c r="A184" s="1"/>
      <c r="B184" s="1"/>
      <c r="C184" s="1"/>
      <c r="D184" s="1"/>
      <c r="E184" s="2"/>
      <c r="F184" s="2"/>
      <c r="G184" s="2"/>
      <c r="H184" s="2"/>
      <c r="I184" s="2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.75">
      <c r="A185" s="1"/>
      <c r="B185" s="1"/>
      <c r="C185" s="1"/>
      <c r="D185" s="1"/>
      <c r="E185" s="2"/>
      <c r="F185" s="2"/>
      <c r="G185" s="2"/>
      <c r="H185" s="2"/>
      <c r="I185" s="2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.75">
      <c r="A186" s="1"/>
      <c r="B186" s="1"/>
      <c r="C186" s="1"/>
      <c r="D186" s="1"/>
      <c r="E186" s="2"/>
      <c r="F186" s="2"/>
      <c r="G186" s="2"/>
      <c r="H186" s="2"/>
      <c r="I186" s="2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.75">
      <c r="A187" s="1"/>
      <c r="B187" s="1"/>
      <c r="C187" s="1"/>
      <c r="D187" s="1"/>
      <c r="E187" s="2"/>
      <c r="F187" s="2"/>
      <c r="G187" s="2"/>
      <c r="H187" s="2"/>
      <c r="I187" s="2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.75">
      <c r="A188" s="1"/>
      <c r="B188" s="1"/>
      <c r="C188" s="1"/>
      <c r="D188" s="1"/>
      <c r="E188" s="2"/>
      <c r="F188" s="2"/>
      <c r="G188" s="2"/>
      <c r="H188" s="2"/>
      <c r="I188" s="2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.75">
      <c r="A189" s="1"/>
      <c r="B189" s="1"/>
      <c r="C189" s="1"/>
      <c r="D189" s="1"/>
      <c r="E189" s="2"/>
      <c r="F189" s="2"/>
      <c r="G189" s="2"/>
      <c r="H189" s="2"/>
      <c r="I189" s="2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57"/>
      <c r="B230" s="57"/>
      <c r="C230" s="57"/>
      <c r="D230" s="57"/>
      <c r="E230" s="7"/>
      <c r="F230" s="7"/>
      <c r="G230" s="7"/>
      <c r="H230" s="7"/>
      <c r="I230" s="7"/>
      <c r="J230" s="7"/>
      <c r="K230" s="7"/>
      <c r="L230" s="7"/>
      <c r="M230" s="7"/>
      <c r="N230" s="8"/>
      <c r="O230" s="8"/>
      <c r="P230" s="8"/>
      <c r="Q230" s="8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</row>
    <row r="231" spans="1:30" customHeight="1" ht="15.75">
      <c r="A231" s="57"/>
      <c r="B231" s="57"/>
      <c r="C231" s="57"/>
      <c r="D231" s="57"/>
      <c r="E231" s="7"/>
      <c r="F231" s="7"/>
      <c r="G231" s="7"/>
      <c r="H231" s="7"/>
      <c r="I231" s="7"/>
      <c r="J231" s="7"/>
      <c r="K231" s="7"/>
      <c r="L231" s="7"/>
      <c r="M231" s="7"/>
      <c r="N231" s="8"/>
      <c r="O231" s="8"/>
      <c r="P231" s="8"/>
      <c r="Q231" s="8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</row>
    <row r="232" spans="1:30" customHeight="1" ht="15.75"/>
    <row r="233" spans="1:30" customHeight="1" ht="15.75"/>
    <row r="234" spans="1:30" customHeight="1" ht="15.75"/>
    <row r="235" spans="1:30" customHeight="1" ht="15.75"/>
    <row r="236" spans="1:30" customHeight="1" ht="15.75"/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28:V28"/>
    <mergeCell ref="U29:V29"/>
    <mergeCell ref="H9:J9"/>
    <mergeCell ref="A11:A12"/>
    <mergeCell ref="B11:R12"/>
    <mergeCell ref="B15:D1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8:D128"/>
    <mergeCell ref="B129:D129"/>
    <mergeCell ref="B130:D130"/>
    <mergeCell ref="B131:D131"/>
    <mergeCell ref="B132:D132"/>
    <mergeCell ref="B133:D133"/>
    <mergeCell ref="B134:D134"/>
    <mergeCell ref="B121:D121"/>
    <mergeCell ref="B122:D122"/>
    <mergeCell ref="B123:D123"/>
    <mergeCell ref="B124:D124"/>
    <mergeCell ref="B125:D125"/>
    <mergeCell ref="B126:D126"/>
    <mergeCell ref="B127:D127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16:D16"/>
    <mergeCell ref="B17:D17"/>
    <mergeCell ref="B18:D18"/>
    <mergeCell ref="B19:D19"/>
    <mergeCell ref="B20:D20"/>
    <mergeCell ref="B21:D21"/>
    <mergeCell ref="B22:D22"/>
    <mergeCell ref="B23:D23"/>
    <mergeCell ref="B25:D25"/>
    <mergeCell ref="B26:D26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2026-02-09T02:05:33+00:00</dcterms:created>
  <dcterms:modified xsi:type="dcterms:W3CDTF">2026-02-09T02:05:33+00:00</dcterms:modified>
  <dc:title>Untitled Spreadsheet</dc:title>
  <dc:description/>
  <dc:subject/>
  <cp:keywords/>
  <cp:category/>
</cp:coreProperties>
</file>