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<sst xmlns="http://schemas.openxmlformats.org/spreadsheetml/2006/main" uniqueCount="81">
  <si>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</si>
  <si>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</si>
  <si>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</si>
  <si>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</si>
  <si>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</si>
  <si>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</si>
  <si>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</si>
  <si>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</si>
  <si>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</si>
  <si>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</si>
  <si>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</si>
  <si>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02/13/2026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</si>
  <si>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</si>
  <si>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</si>
  <si>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</si>
  <si>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</si>
  <si>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</si>
  <si>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</si>
  <si>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</si>
  <si>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</si>
  <si>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</si>
  <si>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</si>
  <si>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</si>
  <si>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</si>
  <si>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</si>
  <si>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</si>
  <si>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</si>
  <si>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</si>
  <si>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</si>
  <si>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</si>
  <si>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</si>
  <si>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</si>
  <si>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</si>
  <si>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</si>
  <si>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</si>
  <si>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</si>
  <si>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</si>
  <si>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</si>
  <si>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</si>
  <si>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</si>
  <si>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</si>
  <si>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</si>
  <si>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</si>
  <si>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</si>
  <si>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</si>
  <si>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</si>
  <si>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</si>
  <si>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</si>
  <si>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</si>
  <si>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</si>
  <si>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</si>
  <si>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</si>
  <si>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</si>
  <si>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</si>
  <si>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</si>
  <si>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</si>
  <si>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</si>
  <si>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</si>
  <si>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</si>
  <si>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</si>
  <si>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</si>
  <si>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</si>
  <si>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</si>
  <si>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</si>
  <si>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</si>
  <si>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</si>
  <si>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</si>
  <si>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</si>
  <si>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BOND</t>
  </si>
  <si>
    <t>4 IN SIDEWALK $5 LOT</t>
  </si>
  <si>
    <t>4 INCH V-GUTTER</t>
  </si>
  <si>
    <t>6 IN DUMPSTER PAD (DOES NOT INCLUDE CATCH BASIN)</t>
  </si>
  <si>
    <t>6' CONCRETE SIDEWALK</t>
  </si>
  <si>
    <t>CHANGE ORDER IN OCTOBER 2025</t>
  </si>
  <si>
    <t>SIDEWALK ON BRIDGE 10 IN W/REINF</t>
  </si>
  <si>
    <t>SY</t>
  </si>
  <si>
    <t>CY</t>
  </si>
  <si>
    <t>EA</t>
  </si>
  <si>
    <t>LF</t>
  </si>
  <si>
    <t>LS</t>
  </si>
  <si>
    <t>SF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</si>
</sst>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66BB6A"/>
        <bgColor rgb="FFF2F2F2"/>
      </patternFill>
    </fill>
    <fill>
      <patternFill patternType="solid">
        <fgColor rgb="FFFFEB3B"/>
        <bgColor rgb="FFF2F2F2"/>
      </patternFill>
    </fill>
    <fill>
      <patternFill patternType="solid">
        <fgColor rgb="FFFFB74D"/>
        <bgColor rgb="FFF2F2F2"/>
      </patternFill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4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7" numFmtId="4" fillId="12" borderId="32" applyFont="1" applyNumberFormat="1" applyFill="1" applyBorder="1" applyAlignment="1">
      <alignment horizontal="right" vertical="center" textRotation="0" wrapText="true" shrinkToFit="false"/>
    </xf>
    <xf xfId="0" fontId="7" numFmtId="164" fillId="12" borderId="32" applyFont="1" applyNumberFormat="1" applyFill="1" applyBorder="1" applyAlignment="1">
      <alignment horizontal="right" vertical="center" textRotation="0" wrapText="true" shrinkToFit="false"/>
    </xf>
    <xf xfId="0" fontId="7" numFmtId="4" fillId="13" borderId="32" applyFont="1" applyNumberFormat="1" applyFill="1" applyBorder="1" applyAlignment="1">
      <alignment horizontal="right" vertical="center" textRotation="0" wrapText="true" shrinkToFit="false"/>
    </xf>
    <xf xfId="0" fontId="7" numFmtId="164" fillId="13" borderId="32" applyFont="1" applyNumberFormat="1" applyFill="1" applyBorder="1" applyAlignment="1">
      <alignment horizontal="right" vertical="center" textRotation="0" wrapText="true" shrinkToFit="false"/>
    </xf>
    <xf xfId="0" fontId="7" numFmtId="4" fillId="14" borderId="32" applyFont="1" applyNumberFormat="1" applyFill="1" applyBorder="1" applyAlignment="1">
      <alignment horizontal="right" vertical="center" textRotation="0" wrapText="true" shrinkToFit="false"/>
    </xf>
    <xf xfId="0" fontId="7" numFmtId="164" fillId="14" borderId="32" applyFont="1" applyNumberFormat="1" applyFill="1" applyBorder="1" applyAlignment="1">
      <alignment horizontal="right" vertical="center" textRotation="0" wrapText="tru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fals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11" numFmtId="0" fillId="20" borderId="32" applyFont="1" applyNumberFormat="0" applyFill="1" applyBorder="1" applyAlignment="1">
      <alignment horizontal="left" vertical="center" textRotation="0" wrapText="true" shrinkToFit="false"/>
    </xf>
    <xf xfId="0" fontId="11" numFmtId="0" fillId="21" borderId="32" applyFont="1" applyNumberFormat="0" applyFill="1" applyBorder="1" applyAlignment="1">
      <alignment horizontal="left" vertical="center" textRotation="0" wrapText="true" shrinkToFit="false"/>
    </xf>
    <xf xfId="0" fontId="11" numFmtId="0" fillId="22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993.50999999999999</v>
      </c>
      <c r="J17" s="118">
        <v>57623.58000000000175</v>
      </c>
      <c r="K17" s="119">
        <v>0.0</v>
      </c>
      <c r="L17" s="118">
        <v>0.0</v>
      </c>
      <c r="M17" s="119">
        <v>0.0</v>
      </c>
      <c r="N17" s="118">
        <v>0.0</v>
      </c>
      <c r="O17" s="119">
        <v>993.50999999999999</v>
      </c>
      <c r="P17" s="118">
        <v>57623.58000000000175</v>
      </c>
      <c r="Q17" s="120"/>
      <c r="R17" s="119">
        <v>993.50999999999999</v>
      </c>
      <c r="S17" s="118">
        <v>57623.58000000000175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79</v>
      </c>
      <c r="F25" s="118">
        <v>-1823.75</v>
      </c>
      <c r="G25" s="119">
        <v>1.0</v>
      </c>
      <c r="H25" s="118">
        <v>-1823.75</v>
      </c>
      <c r="I25" s="121">
        <v>0.97</v>
      </c>
      <c r="J25" s="122">
        <v>-1769.037499999999909</v>
      </c>
      <c r="K25" s="121">
        <v>0.0</v>
      </c>
      <c r="L25" s="122">
        <v>0.0</v>
      </c>
      <c r="M25" s="123">
        <v>0</v>
      </c>
      <c r="N25" s="124">
        <v>0</v>
      </c>
      <c r="O25" s="125">
        <v>0.973298</v>
      </c>
      <c r="P25" s="126">
        <v>-1775.049999999999955</v>
      </c>
      <c r="Q25" s="120"/>
      <c r="R25" s="125">
        <v>0.973298</v>
      </c>
      <c r="S25" s="126">
        <v>-1775.049999999999955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75</v>
      </c>
      <c r="F26" s="118">
        <v>10.0</v>
      </c>
      <c r="G26" s="119">
        <v>150.0</v>
      </c>
      <c r="H26" s="118">
        <v>1500.0</v>
      </c>
      <c r="I26" s="119">
        <v>0</v>
      </c>
      <c r="J26" s="118">
        <v>0</v>
      </c>
      <c r="K26" s="119">
        <v>0</v>
      </c>
      <c r="L26" s="118">
        <v>0</v>
      </c>
      <c r="M26" s="119">
        <v>0</v>
      </c>
      <c r="N26" s="118">
        <v>0</v>
      </c>
      <c r="O26" s="119">
        <v>0</v>
      </c>
      <c r="P26" s="118">
        <v>0</v>
      </c>
      <c r="Q26" s="120"/>
      <c r="R26" s="119">
        <v>0</v>
      </c>
      <c r="S26" s="118">
        <v>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78</v>
      </c>
      <c r="F27" s="118">
        <v>10.0</v>
      </c>
      <c r="G27" s="119">
        <v>120.0</v>
      </c>
      <c r="H27" s="118">
        <v>1200.0</v>
      </c>
      <c r="I27" s="119">
        <v>0</v>
      </c>
      <c r="J27" s="118">
        <v>0</v>
      </c>
      <c r="K27" s="119">
        <v>0</v>
      </c>
      <c r="L27" s="118">
        <v>0</v>
      </c>
      <c r="M27" s="119">
        <v>0</v>
      </c>
      <c r="N27" s="118">
        <v>0</v>
      </c>
      <c r="O27" s="119">
        <v>0</v>
      </c>
      <c r="P27" s="118">
        <v>0</v>
      </c>
      <c r="Q27" s="120"/>
      <c r="R27" s="119">
        <v>0</v>
      </c>
      <c r="S27" s="118">
        <v>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80</v>
      </c>
      <c r="F28" s="118">
        <v>10.0</v>
      </c>
      <c r="G28" s="119">
        <v>500.0</v>
      </c>
      <c r="H28" s="118">
        <v>5000.0</v>
      </c>
      <c r="I28" s="119">
        <v>0</v>
      </c>
      <c r="J28" s="118">
        <v>0</v>
      </c>
      <c r="K28" s="119">
        <v>0</v>
      </c>
      <c r="L28" s="118">
        <v>0</v>
      </c>
      <c r="M28" s="119">
        <v>0</v>
      </c>
      <c r="N28" s="118">
        <v>0</v>
      </c>
      <c r="O28" s="119">
        <v>0</v>
      </c>
      <c r="P28" s="118">
        <v>0</v>
      </c>
      <c r="Q28" s="120"/>
      <c r="R28" s="119">
        <v>0</v>
      </c>
      <c r="S28" s="118">
        <v>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12.0</v>
      </c>
      <c r="G29" s="119">
        <v>250.0</v>
      </c>
      <c r="H29" s="118">
        <v>3000.0</v>
      </c>
      <c r="I29" s="119">
        <v>0</v>
      </c>
      <c r="J29" s="118">
        <v>0</v>
      </c>
      <c r="K29" s="119">
        <v>0</v>
      </c>
      <c r="L29" s="118">
        <v>0</v>
      </c>
      <c r="M29" s="119">
        <v>0</v>
      </c>
      <c r="N29" s="118">
        <v>0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7"/>
      <c r="B30" s="128"/>
      <c r="C30" s="11"/>
      <c r="D30" s="11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8"/>
      <c r="R30" s="128"/>
      <c r="S30" s="128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7"/>
      <c r="B31" s="129" t="s">
        <v>73</v>
      </c>
      <c r="C31" s="130"/>
      <c r="D31" s="130"/>
      <c r="E31" s="131"/>
      <c r="F31" s="131"/>
      <c r="G31" s="131"/>
      <c r="H31" s="131"/>
      <c r="I31" s="132"/>
      <c r="J31" s="132"/>
      <c r="K31" s="133"/>
      <c r="L31" s="133"/>
      <c r="M31" s="134"/>
      <c r="N31" s="134"/>
      <c r="O31" s="135"/>
      <c r="P31" s="135"/>
      <c r="Q31" s="130"/>
      <c r="R31" s="136"/>
      <c r="S31" s="136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268718.25</v>
      </c>
      <c r="I33" s="93" t="s">
        <v>57</v>
      </c>
      <c r="J33" s="94">
        <f>SUM(J16:J32)</f>
        <v>265161.54249999998137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265155.53000000002794</v>
      </c>
      <c r="Q33" s="8"/>
      <c r="R33" s="101" t="s">
        <v>53</v>
      </c>
      <c r="S33" s="102">
        <f>SUM(S16:S32)</f>
        <v>265155.53000000002794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40">
        <v>13135.72999999999956</v>
      </c>
      <c r="K34" s="106"/>
      <c r="L34" s="7"/>
      <c r="M34" s="108"/>
      <c r="N34" s="8"/>
      <c r="O34" s="8"/>
      <c r="P34" s="109"/>
      <c r="Q34" s="8"/>
      <c r="R34" s="138" t="s">
        <v>51</v>
      </c>
      <c r="S34" s="139">
        <v>13135.72999999999956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40">
        <f>J33-J34</f>
        <v>252025.8124999999709</v>
      </c>
      <c r="K35" s="106"/>
      <c r="L35" s="108"/>
      <c r="M35" s="108"/>
      <c r="N35" s="8"/>
      <c r="O35" s="8"/>
      <c r="P35" s="111"/>
      <c r="Q35" s="112"/>
      <c r="R35" s="141" t="s">
        <v>49</v>
      </c>
      <c r="S35" s="142">
        <f>S33-S34</f>
        <v>252019.80000000001746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2026-02-13T17:58:14+00:00</dcterms:created>
  <dcterms:modified xsi:type="dcterms:W3CDTF">2026-02-13T17:58:14+00:00</dcterms:modified>
  <dc:title>Untitled Spreadsheet</dc:title>
  <dc:description/>
  <dc:subject/>
  <cp:keywords/>
  <cp:category/>
</cp:coreProperties>
</file>